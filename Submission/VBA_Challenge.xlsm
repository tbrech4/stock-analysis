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brec\DataAnalysis\Bootcamp\Homework_Repos\stock-analysis\Submission\"/>
    </mc:Choice>
  </mc:AlternateContent>
  <xr:revisionPtr revIDLastSave="0" documentId="13_ncr:1_{3ABFC62A-0C51-445F-B6EA-9E1F4956CA40}" xr6:coauthVersionLast="47" xr6:coauthVersionMax="47" xr10:uidLastSave="{00000000-0000-0000-0000-000000000000}"/>
  <bookViews>
    <workbookView xWindow="-26235" yWindow="3210" windowWidth="21600" windowHeight="12645" activeTab="1" xr2:uid="{00000000-000D-0000-FFFF-FFFF00000000}"/>
  </bookViews>
  <sheets>
    <sheet name="2017" sheetId="1" r:id="rId1"/>
    <sheet name="2018" sheetId="2" r:id="rId2"/>
    <sheet name="All Stocks Analysis" sheetId="4" r:id="rId3"/>
    <sheet name="Sheet1" sheetId="5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3" i="5" l="1"/>
  <c r="N21" i="5"/>
  <c r="M22" i="5"/>
  <c r="M21" i="5"/>
  <c r="N1" i="5"/>
  <c r="N19" i="5"/>
  <c r="M19" i="5"/>
  <c r="N7" i="5"/>
  <c r="N8" i="5"/>
  <c r="N9" i="5"/>
  <c r="N10" i="5"/>
  <c r="N11" i="5"/>
  <c r="N12" i="5"/>
  <c r="N13" i="5"/>
  <c r="N14" i="5"/>
  <c r="N15" i="5"/>
  <c r="N16" i="5"/>
  <c r="N17" i="5"/>
  <c r="N6" i="5"/>
  <c r="M7" i="5"/>
  <c r="M8" i="5"/>
  <c r="M9" i="5"/>
  <c r="M10" i="5"/>
  <c r="M11" i="5"/>
  <c r="M12" i="5"/>
  <c r="M13" i="5"/>
  <c r="M14" i="5"/>
  <c r="M15" i="5"/>
  <c r="M16" i="5"/>
  <c r="M17" i="5"/>
  <c r="M6" i="5"/>
</calcChain>
</file>

<file path=xl/sharedStrings.xml><?xml version="1.0" encoding="utf-8"?>
<sst xmlns="http://schemas.openxmlformats.org/spreadsheetml/2006/main" count="12116" uniqueCount="530">
  <si>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</si>
  <si>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</si>
  <si>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</si>
  <si>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</si>
  <si>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</si>
  <si>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</si>
  <si>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</si>
  <si>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</si>
  <si>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</si>
  <si>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</si>
  <si>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</si>
  <si>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</si>
  <si>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</si>
  <si>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</si>
  <si>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</si>
  <si>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</si>
  <si>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</si>
  <si>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</si>
  <si>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</si>
  <si>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</si>
  <si>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</si>
  <si>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</si>
  <si>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</si>
  <si>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</si>
  <si>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</si>
  <si>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</si>
  <si>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</si>
  <si>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</si>
  <si>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</si>
  <si>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</si>
  <si>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</si>
  <si>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</si>
  <si>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</si>
  <si>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</si>
  <si>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</si>
  <si>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</si>
  <si>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</si>
  <si>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</si>
  <si>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</si>
  <si>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</si>
  <si>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</si>
  <si>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</si>
  <si>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</si>
  <si>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</si>
  <si>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</si>
  <si>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</si>
  <si>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</si>
  <si>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</si>
  <si>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</si>
  <si>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</si>
  <si>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</si>
  <si>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</si>
  <si>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</si>
  <si>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</si>
  <si>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</si>
  <si>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</si>
  <si>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</si>
  <si>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</si>
  <si>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</si>
  <si>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</si>
  <si>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</si>
  <si>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</si>
  <si>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</si>
  <si>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</si>
  <si>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</si>
  <si>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</si>
  <si>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</si>
  <si>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</si>
  <si>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</si>
  <si>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</si>
  <si>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</si>
  <si>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</si>
  <si>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</si>
  <si>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</si>
  <si>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</si>
  <si>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</si>
  <si>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</si>
  <si>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</si>
  <si>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</si>
  <si>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</si>
  <si>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</si>
  <si>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</si>
  <si>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</si>
  <si>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</si>
  <si>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</si>
  <si>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</si>
  <si>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</si>
  <si>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</si>
  <si>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</si>
  <si>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</si>
  <si>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</si>
  <si>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</si>
  <si>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</si>
  <si>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</si>
  <si>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</si>
  <si>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</si>
  <si>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</si>
  <si>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</si>
  <si>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</si>
  <si>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</si>
  <si>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</si>
  <si>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</si>
  <si>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</si>
  <si>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</si>
  <si>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</si>
  <si>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</si>
  <si>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</si>
  <si>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</si>
  <si>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</si>
  <si>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</si>
  <si>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</si>
  <si>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</si>
  <si>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</si>
  <si>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</si>
  <si>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</si>
  <si>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</si>
  <si>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</si>
  <si>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</si>
  <si>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</si>
  <si>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</si>
  <si>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</si>
  <si>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</si>
  <si>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</si>
  <si>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</si>
  <si>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</si>
  <si>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</si>
  <si>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</si>
  <si>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</si>
  <si>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</si>
  <si>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</si>
  <si>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</si>
  <si>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</si>
  <si>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</si>
  <si>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</si>
  <si>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</si>
  <si>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</si>
  <si>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</si>
  <si>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</si>
  <si>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</si>
  <si>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</si>
  <si>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</si>
  <si>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</si>
  <si>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</si>
  <si>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</si>
  <si>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</si>
  <si>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</si>
  <si>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</si>
  <si>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</si>
  <si>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</si>
  <si>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</si>
  <si>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</si>
  <si>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</si>
  <si>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</si>
  <si>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</si>
  <si>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</si>
  <si>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</si>
  <si>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</si>
  <si>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</si>
  <si>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</si>
  <si>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</si>
  <si>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</si>
  <si>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</si>
  <si>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</si>
  <si>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</si>
  <si>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</si>
  <si>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</si>
  <si>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</si>
  <si>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</si>
  <si>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</si>
  <si>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</si>
  <si>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</si>
  <si>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</si>
  <si>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</si>
  <si>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</si>
  <si>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</si>
  <si>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</si>
  <si>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</si>
  <si>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</si>
  <si>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</si>
  <si>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</si>
  <si>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</si>
  <si>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</si>
  <si>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</si>
  <si>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</si>
  <si>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</si>
  <si>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</si>
  <si>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</si>
  <si>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</si>
  <si>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</si>
  <si>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</si>
  <si>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</si>
  <si>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</si>
  <si>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</si>
  <si>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</si>
  <si>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</si>
  <si>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</si>
  <si>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</si>
  <si>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</si>
  <si>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</si>
  <si>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</si>
  <si>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</si>
  <si>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</si>
  <si>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</si>
  <si>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</si>
  <si>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</si>
  <si>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</si>
  <si>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</si>
  <si>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</si>
  <si>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</si>
  <si>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</si>
  <si>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</si>
  <si>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</si>
  <si>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</si>
  <si>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</si>
  <si>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</si>
  <si>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</si>
  <si>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</si>
  <si>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</si>
  <si>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</si>
  <si>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</si>
  <si>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</si>
  <si>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</si>
  <si>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</si>
  <si>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</si>
  <si>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</si>
  <si>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</si>
  <si>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</si>
  <si>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</si>
  <si>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</si>
  <si>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</si>
  <si>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</si>
  <si>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</si>
  <si>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</si>
  <si>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</si>
  <si>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</si>
  <si>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</si>
  <si>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</si>
  <si>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</si>
  <si>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</si>
  <si>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</si>
  <si>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</si>
  <si>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</si>
  <si>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</si>
  <si>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</si>
  <si>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</si>
  <si>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</si>
  <si>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</si>
  <si>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</si>
  <si>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</si>
  <si>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</si>
  <si>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</si>
  <si>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</si>
  <si>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</si>
  <si>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</si>
  <si>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</si>
  <si>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</si>
  <si>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</si>
  <si>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</si>
  <si>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</si>
  <si>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</si>
  <si>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</si>
  <si>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</si>
  <si>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</si>
  <si>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</si>
  <si>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</si>
  <si>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</si>
  <si>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</si>
  <si>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</si>
  <si>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</si>
  <si>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</si>
  <si>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</si>
  <si>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</si>
  <si>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</si>
  <si>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</si>
  <si>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</si>
  <si>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</si>
  <si>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</si>
  <si>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</si>
  <si>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</si>
  <si>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</si>
  <si>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</si>
  <si>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</si>
  <si>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</si>
  <si>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</si>
  <si>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</si>
  <si>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</si>
  <si>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</si>
  <si>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</si>
  <si>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</si>
  <si>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</si>
  <si>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</si>
  <si>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</si>
  <si>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</si>
  <si>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</si>
  <si>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</si>
  <si>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</si>
  <si>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</si>
  <si>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</si>
  <si>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</si>
  <si>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</si>
  <si>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</si>
  <si>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</si>
  <si>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</si>
  <si>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</si>
  <si>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</si>
  <si>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</si>
  <si>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</si>
  <si>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</si>
  <si>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</si>
  <si>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</si>
  <si>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</si>
  <si>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</si>
  <si>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</si>
  <si>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</si>
  <si>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</si>
  <si>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</si>
  <si>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</si>
  <si>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</si>
  <si>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</si>
  <si>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</si>
  <si>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</si>
  <si>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</si>
  <si>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</si>
  <si>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</si>
  <si>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</si>
  <si>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</si>
  <si>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</si>
  <si>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</si>
  <si>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</si>
  <si>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</si>
  <si>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</si>
  <si>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</si>
  <si>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</si>
  <si>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</si>
  <si>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</si>
  <si>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</si>
  <si>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</si>
  <si>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</si>
  <si>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</si>
  <si>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</si>
  <si>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</si>
  <si>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</si>
  <si>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</si>
  <si>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</si>
  <si>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</si>
  <si>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</si>
  <si>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</si>
  <si>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</si>
  <si>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</si>
  <si>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</si>
  <si>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</si>
  <si>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</si>
  <si>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</si>
  <si>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</si>
  <si>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</si>
  <si>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</si>
  <si>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</si>
  <si>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</si>
  <si>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</si>
  <si>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</si>
  <si>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</si>
  <si>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</si>
  <si>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</si>
  <si>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</si>
  <si>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</si>
  <si>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</si>
  <si>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</si>
  <si>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</si>
  <si>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</si>
  <si>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</si>
  <si>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</si>
  <si>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</si>
  <si>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</si>
  <si>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</si>
  <si>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</si>
  <si>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</si>
  <si>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</si>
  <si>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</si>
  <si>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</si>
  <si>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</si>
  <si>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</si>
  <si>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</si>
  <si>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</si>
  <si>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</si>
  <si>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</si>
  <si>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</si>
  <si>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</si>
  <si>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</si>
  <si>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</si>
  <si>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</si>
  <si>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</si>
  <si>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</si>
  <si>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</si>
  <si>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</si>
  <si>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</si>
  <si>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</si>
  <si>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</si>
  <si>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</si>
  <si>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</si>
  <si>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</si>
  <si>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</si>
  <si>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</si>
  <si>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</si>
  <si>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</si>
  <si>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</si>
  <si>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</si>
  <si>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</si>
  <si>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</si>
  <si>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</si>
  <si>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</si>
  <si>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</si>
  <si>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</si>
  <si>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</si>
  <si>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</si>
  <si>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</si>
  <si>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</si>
  <si>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</si>
  <si>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</si>
  <si>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</si>
  <si>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</si>
  <si>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</si>
  <si>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</si>
  <si>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</si>
  <si>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</si>
  <si>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</si>
  <si>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</si>
  <si>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</si>
  <si>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</si>
  <si>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</si>
  <si>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</si>
  <si>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</si>
  <si>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</si>
  <si>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</si>
  <si>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</si>
  <si>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</si>
  <si>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</si>
  <si>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</si>
  <si>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</si>
  <si>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</si>
  <si>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</si>
  <si>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</si>
  <si>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</si>
  <si>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</si>
  <si>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</si>
  <si>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</si>
  <si>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</si>
  <si>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</si>
  <si>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</si>
  <si>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</si>
  <si>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</si>
  <si>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</si>
  <si>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</si>
  <si>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</si>
  <si>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</si>
  <si>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</si>
  <si>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</si>
  <si>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</si>
  <si>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</si>
  <si>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</si>
  <si>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</si>
  <si>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</si>
  <si>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</si>
  <si>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</si>
  <si>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</si>
  <si>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</si>
  <si>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</si>
  <si>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</si>
  <si>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</si>
  <si>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</si>
  <si>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</si>
  <si>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</si>
  <si>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</si>
  <si>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</si>
  <si>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</si>
  <si>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</si>
  <si>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</si>
  <si>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</si>
  <si>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</si>
  <si>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</si>
  <si>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</si>
  <si>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</si>
  <si>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</si>
  <si>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</si>
  <si>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</si>
  <si>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</si>
  <si>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</si>
  <si>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</si>
  <si>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</si>
  <si>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</si>
  <si>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</si>
  <si>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</si>
  <si>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</si>
  <si>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</si>
  <si>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</si>
  <si>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</si>
  <si>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</si>
  <si>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</si>
  <si>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</si>
  <si>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</si>
  <si>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</si>
  <si>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</si>
  <si>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</si>
  <si>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</si>
  <si>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</si>
  <si>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</si>
  <si>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</si>
  <si>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</si>
  <si>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</si>
  <si>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</si>
  <si>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</si>
  <si>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</si>
  <si>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</si>
  <si>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</si>
  <si>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</si>
  <si>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</si>
  <si>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</si>
  <si>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</si>
  <si>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</si>
  <si>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</si>
  <si>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</si>
  <si>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</si>
  <si>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</si>
  <si>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</si>
  <si>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</si>
  <si>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</si>
  <si>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</si>
  <si>
    <t>$ to invest</t>
  </si>
  <si>
    <t>Value at end of 2017</t>
  </si>
  <si>
    <t>Value at end of 2018</t>
  </si>
  <si>
    <t>Beginning portfolio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</si>
</sst>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6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  <xf numFmtId="166" fontId="0" fillId="0" borderId="0" xfId="1" applyNumberFormat="1" applyFont="1"/>
    <xf numFmtId="166" fontId="0" fillId="0" borderId="0" xfId="0" applyNumberFormat="1"/>
    <xf numFmtId="9" fontId="0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</xdr:row>
          <xdr:rowOff>19050</xdr:rowOff>
        </xdr:from>
        <xdr:to>
          <xdr:col>10</xdr:col>
          <xdr:colOff>219075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9</xdr:row>
          <xdr:rowOff>85725</xdr:rowOff>
        </xdr:from>
        <xdr:to>
          <xdr:col>10</xdr:col>
          <xdr:colOff>123825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36" sqref="C36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topLeftCell="A2987" workbookViewId="0">
      <selection activeCell="A3013" sqref="A3013"/>
    </sheetView>
  </sheetViews>
  <sheetFormatPr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9E52A-E292-498E-93A0-B8C45FE92E10}">
  <sheetPr codeName="Sheet4"/>
  <dimension ref="A1:C15"/>
  <sheetViews>
    <sheetView workbookViewId="0">
      <selection activeCell="B18" sqref="B18"/>
    </sheetView>
  </sheetViews>
  <sheetFormatPr defaultRowHeight="15" x14ac:dyDescent="0.25"/>
  <cols>
    <col min="2" max="2" width="18" bestFit="1" customWidth="1"/>
    <col min="8" max="8" width="13.140625" bestFit="1" customWidth="1"/>
    <col min="9" max="9" width="14.7109375" bestFit="1" customWidth="1"/>
    <col min="10" max="10" width="13.140625" bestFit="1" customWidth="1"/>
    <col min="11" max="11" width="15.28515625" bestFit="1" customWidth="1"/>
    <col min="14" max="15" width="13.140625" bestFit="1" customWidth="1"/>
    <col min="16" max="16" width="14.7109375" bestFit="1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136070900</v>
      </c>
      <c r="C4" s="5">
        <v>8.9368253946304321E-2</v>
      </c>
    </row>
    <row r="5" spans="1:3" x14ac:dyDescent="0.25">
      <c r="A5" t="s">
        <v>9</v>
      </c>
      <c r="B5" s="3">
        <v>310592800</v>
      </c>
      <c r="C5" s="5">
        <v>0.33070248365402222</v>
      </c>
    </row>
    <row r="6" spans="1:3" x14ac:dyDescent="0.25">
      <c r="A6" t="s">
        <v>10</v>
      </c>
      <c r="B6" s="3">
        <v>35796200</v>
      </c>
      <c r="C6" s="5">
        <v>1.9944583177566528</v>
      </c>
    </row>
    <row r="7" spans="1:3" x14ac:dyDescent="0.25">
      <c r="A7" t="s">
        <v>11</v>
      </c>
      <c r="B7" s="3">
        <v>221772100</v>
      </c>
      <c r="C7" s="5">
        <v>1.2952382564544678</v>
      </c>
    </row>
    <row r="8" spans="1:3" x14ac:dyDescent="0.25">
      <c r="A8" t="s">
        <v>12</v>
      </c>
      <c r="B8" s="3">
        <v>684181400</v>
      </c>
      <c r="C8" s="5">
        <v>1.0131185054779053</v>
      </c>
    </row>
    <row r="9" spans="1:3" x14ac:dyDescent="0.25">
      <c r="A9" t="s">
        <v>13</v>
      </c>
      <c r="B9" s="3">
        <v>80949300</v>
      </c>
      <c r="C9" s="5">
        <v>0.2583681046962738</v>
      </c>
    </row>
    <row r="10" spans="1:3" x14ac:dyDescent="0.25">
      <c r="A10" t="s">
        <v>14</v>
      </c>
      <c r="B10" s="3">
        <v>191632200</v>
      </c>
      <c r="C10" s="5">
        <v>0.53870755434036255</v>
      </c>
    </row>
    <row r="11" spans="1:3" x14ac:dyDescent="0.25">
      <c r="A11" t="s">
        <v>15</v>
      </c>
      <c r="B11" s="3">
        <v>267681300</v>
      </c>
      <c r="C11" s="5">
        <v>5.5456161499023438E-2</v>
      </c>
    </row>
    <row r="12" spans="1:3" x14ac:dyDescent="0.25">
      <c r="A12" t="s">
        <v>16</v>
      </c>
      <c r="B12" s="3">
        <v>206885200</v>
      </c>
      <c r="C12" s="5">
        <v>1.8446969985961914</v>
      </c>
    </row>
    <row r="13" spans="1:3" x14ac:dyDescent="0.25">
      <c r="A13" t="s">
        <v>17</v>
      </c>
      <c r="B13" s="3">
        <v>782187000</v>
      </c>
      <c r="C13" s="5">
        <v>0.23065699636936188</v>
      </c>
    </row>
    <row r="14" spans="1:3" x14ac:dyDescent="0.25">
      <c r="A14" t="s">
        <v>18</v>
      </c>
      <c r="B14" s="3">
        <v>139402800</v>
      </c>
      <c r="C14" s="4">
        <v>-7.2148971259593964E-2</v>
      </c>
    </row>
    <row r="15" spans="1:3" x14ac:dyDescent="0.2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371475</xdr:colOff>
                    <xdr:row>1</xdr:row>
                    <xdr:rowOff>19050</xdr:rowOff>
                  </from>
                  <to>
                    <xdr:col>10</xdr:col>
                    <xdr:colOff>219075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6</xdr:col>
                    <xdr:colOff>438150</xdr:colOff>
                    <xdr:row>9</xdr:row>
                    <xdr:rowOff>85725</xdr:rowOff>
                  </from>
                  <to>
                    <xdr:col>10</xdr:col>
                    <xdr:colOff>123825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6B94A-EA69-47CE-B90D-C9E35E13A091}">
  <sheetPr codeName="Sheet3"/>
  <dimension ref="C1:N23"/>
  <sheetViews>
    <sheetView workbookViewId="0">
      <selection activeCell="H23" sqref="H23"/>
    </sheetView>
  </sheetViews>
  <sheetFormatPr defaultRowHeight="15" x14ac:dyDescent="0.25"/>
  <cols>
    <col min="3" max="3" width="15.42578125" bestFit="1" customWidth="1"/>
    <col min="4" max="4" width="18" bestFit="1" customWidth="1"/>
    <col min="5" max="5" width="7.140625" bestFit="1" customWidth="1"/>
    <col min="8" max="8" width="15.42578125" bestFit="1" customWidth="1"/>
    <col min="9" max="9" width="18" bestFit="1" customWidth="1"/>
    <col min="10" max="10" width="7" bestFit="1" customWidth="1"/>
    <col min="13" max="14" width="19.140625" bestFit="1" customWidth="1"/>
  </cols>
  <sheetData>
    <row r="1" spans="3:14" x14ac:dyDescent="0.25">
      <c r="M1" t="s">
        <v>529</v>
      </c>
      <c r="N1">
        <f>N2*12</f>
        <v>120000</v>
      </c>
    </row>
    <row r="2" spans="3:14" x14ac:dyDescent="0.25">
      <c r="M2" t="s">
        <v>526</v>
      </c>
      <c r="N2">
        <v>10000</v>
      </c>
    </row>
    <row r="3" spans="3:14" x14ac:dyDescent="0.25">
      <c r="C3" t="s">
        <v>524</v>
      </c>
      <c r="H3" t="s">
        <v>525</v>
      </c>
    </row>
    <row r="5" spans="3:14" x14ac:dyDescent="0.25">
      <c r="C5" s="2" t="s">
        <v>0</v>
      </c>
      <c r="D5" s="2" t="s">
        <v>522</v>
      </c>
      <c r="E5" s="2" t="s">
        <v>523</v>
      </c>
      <c r="H5" s="2" t="s">
        <v>0</v>
      </c>
      <c r="I5" s="2" t="s">
        <v>522</v>
      </c>
      <c r="J5" s="2" t="s">
        <v>523</v>
      </c>
      <c r="M5" s="6" t="s">
        <v>527</v>
      </c>
      <c r="N5" s="6" t="s">
        <v>528</v>
      </c>
    </row>
    <row r="6" spans="3:14" x14ac:dyDescent="0.25">
      <c r="C6" t="s">
        <v>8</v>
      </c>
      <c r="D6" s="3">
        <v>136070900</v>
      </c>
      <c r="E6" s="5">
        <v>8.9368253946304321E-2</v>
      </c>
      <c r="H6" t="s">
        <v>8</v>
      </c>
      <c r="I6" s="3">
        <v>83079900</v>
      </c>
      <c r="J6" s="4">
        <v>-7.2847634553909302E-2</v>
      </c>
      <c r="M6" s="7">
        <f>$N$2+(E6*$N$2)</f>
        <v>10893.682539463043</v>
      </c>
      <c r="N6" s="7">
        <f>M6+(M6*J6)</f>
        <v>10100.103534881937</v>
      </c>
    </row>
    <row r="7" spans="3:14" x14ac:dyDescent="0.25">
      <c r="C7" t="s">
        <v>9</v>
      </c>
      <c r="D7" s="3">
        <v>310592800</v>
      </c>
      <c r="E7" s="5">
        <v>0.33070248365402222</v>
      </c>
      <c r="H7" t="s">
        <v>9</v>
      </c>
      <c r="I7" s="3">
        <v>200879900</v>
      </c>
      <c r="J7" s="4">
        <v>-0.16336052119731903</v>
      </c>
      <c r="M7" s="7">
        <f t="shared" ref="M7:N17" si="0">$N$2+(E7*$N$2)</f>
        <v>13307.024836540222</v>
      </c>
      <c r="N7" s="7">
        <f t="shared" ref="N7:N17" si="1">M7+(M7*J7)</f>
        <v>11133.182323657342</v>
      </c>
    </row>
    <row r="8" spans="3:14" x14ac:dyDescent="0.25">
      <c r="C8" t="s">
        <v>10</v>
      </c>
      <c r="D8" s="3">
        <v>35796200</v>
      </c>
      <c r="E8" s="5">
        <v>1.9944583177566528</v>
      </c>
      <c r="H8" t="s">
        <v>10</v>
      </c>
      <c r="I8" s="3">
        <v>107873900</v>
      </c>
      <c r="J8" s="4">
        <v>-0.62601888179779053</v>
      </c>
      <c r="M8" s="7">
        <f t="shared" si="0"/>
        <v>29944.583177566528</v>
      </c>
      <c r="N8" s="7">
        <f t="shared" si="1"/>
        <v>11198.7087008454</v>
      </c>
    </row>
    <row r="9" spans="3:14" x14ac:dyDescent="0.25">
      <c r="C9" t="s">
        <v>11</v>
      </c>
      <c r="D9" s="3">
        <v>221772100</v>
      </c>
      <c r="E9" s="5">
        <v>1.2952382564544678</v>
      </c>
      <c r="H9" t="s">
        <v>11</v>
      </c>
      <c r="I9" s="3">
        <v>607473500</v>
      </c>
      <c r="J9" s="5">
        <v>0.81923085451126099</v>
      </c>
      <c r="M9" s="7">
        <f t="shared" si="0"/>
        <v>22952.382564544678</v>
      </c>
      <c r="N9" s="7">
        <f t="shared" si="1"/>
        <v>41755.682545965981</v>
      </c>
    </row>
    <row r="10" spans="3:14" x14ac:dyDescent="0.25">
      <c r="C10" t="s">
        <v>12</v>
      </c>
      <c r="D10" s="3">
        <v>684181400</v>
      </c>
      <c r="E10" s="5">
        <v>1.0131185054779053</v>
      </c>
      <c r="H10" t="s">
        <v>12</v>
      </c>
      <c r="I10" s="3">
        <v>478113900</v>
      </c>
      <c r="J10" s="4">
        <v>-0.39713191986083984</v>
      </c>
      <c r="M10" s="7">
        <f t="shared" si="0"/>
        <v>20131.185054779053</v>
      </c>
      <c r="N10" s="7">
        <f t="shared" si="1"/>
        <v>12136.448884900801</v>
      </c>
    </row>
    <row r="11" spans="3:14" x14ac:dyDescent="0.25">
      <c r="C11" t="s">
        <v>13</v>
      </c>
      <c r="D11" s="3">
        <v>80949300</v>
      </c>
      <c r="E11" s="5">
        <v>0.2583681046962738</v>
      </c>
      <c r="H11" t="s">
        <v>13</v>
      </c>
      <c r="I11" s="3">
        <v>104340600</v>
      </c>
      <c r="J11" s="4">
        <v>-0.20658062398433685</v>
      </c>
      <c r="M11" s="7">
        <f t="shared" si="0"/>
        <v>12583.681046962738</v>
      </c>
      <c r="N11" s="7">
        <f t="shared" si="1"/>
        <v>9984.1363642613032</v>
      </c>
    </row>
    <row r="12" spans="3:14" x14ac:dyDescent="0.25">
      <c r="C12" t="s">
        <v>14</v>
      </c>
      <c r="D12" s="3">
        <v>191632200</v>
      </c>
      <c r="E12" s="5">
        <v>0.53870755434036255</v>
      </c>
      <c r="H12" t="s">
        <v>14</v>
      </c>
      <c r="I12" s="3">
        <v>158309000</v>
      </c>
      <c r="J12" s="4">
        <v>-0.6053471565246582</v>
      </c>
      <c r="M12" s="7">
        <f t="shared" si="0"/>
        <v>15387.075543403625</v>
      </c>
      <c r="N12" s="7">
        <f t="shared" si="1"/>
        <v>6072.5531159741313</v>
      </c>
    </row>
    <row r="13" spans="3:14" x14ac:dyDescent="0.25">
      <c r="C13" t="s">
        <v>15</v>
      </c>
      <c r="D13" s="3">
        <v>267681300</v>
      </c>
      <c r="E13" s="5">
        <v>5.5456161499023438E-2</v>
      </c>
      <c r="H13" t="s">
        <v>15</v>
      </c>
      <c r="I13" s="3">
        <v>502757100</v>
      </c>
      <c r="J13" s="5">
        <v>0.83952707052230835</v>
      </c>
      <c r="M13" s="7">
        <f t="shared" si="0"/>
        <v>10554.561614990234</v>
      </c>
      <c r="N13" s="7">
        <f t="shared" si="1"/>
        <v>19415.401808270188</v>
      </c>
    </row>
    <row r="14" spans="3:14" x14ac:dyDescent="0.25">
      <c r="C14" t="s">
        <v>16</v>
      </c>
      <c r="D14" s="3">
        <v>206885200</v>
      </c>
      <c r="E14" s="5">
        <v>1.8446969985961914</v>
      </c>
      <c r="H14" t="s">
        <v>16</v>
      </c>
      <c r="I14" s="3">
        <v>237212300</v>
      </c>
      <c r="J14" s="4">
        <v>-7.7529586851596832E-2</v>
      </c>
      <c r="M14" s="7">
        <f t="shared" si="0"/>
        <v>28446.969985961914</v>
      </c>
      <c r="N14" s="7">
        <f t="shared" si="1"/>
        <v>26241.488155770512</v>
      </c>
    </row>
    <row r="15" spans="3:14" x14ac:dyDescent="0.25">
      <c r="C15" t="s">
        <v>17</v>
      </c>
      <c r="D15" s="3">
        <v>782187000</v>
      </c>
      <c r="E15" s="5">
        <v>0.23065699636936188</v>
      </c>
      <c r="H15" t="s">
        <v>17</v>
      </c>
      <c r="I15" s="3">
        <v>538024300</v>
      </c>
      <c r="J15" s="4">
        <v>-0.44593092799186707</v>
      </c>
      <c r="M15" s="7">
        <f t="shared" si="0"/>
        <v>12306.569963693619</v>
      </c>
      <c r="N15" s="7">
        <f t="shared" si="1"/>
        <v>6818.6897993868852</v>
      </c>
    </row>
    <row r="16" spans="3:14" x14ac:dyDescent="0.25">
      <c r="C16" t="s">
        <v>18</v>
      </c>
      <c r="D16" s="3">
        <v>139402800</v>
      </c>
      <c r="E16" s="4">
        <v>-7.2148971259593964E-2</v>
      </c>
      <c r="H16" t="s">
        <v>18</v>
      </c>
      <c r="I16" s="3">
        <v>151434700</v>
      </c>
      <c r="J16" s="4">
        <v>-4.9957673996686935E-2</v>
      </c>
      <c r="M16" s="7">
        <f t="shared" si="0"/>
        <v>9278.5102874040604</v>
      </c>
      <c r="N16" s="7">
        <f t="shared" si="1"/>
        <v>8814.9774952910229</v>
      </c>
    </row>
    <row r="17" spans="3:14" x14ac:dyDescent="0.25">
      <c r="C17" t="s">
        <v>19</v>
      </c>
      <c r="D17" s="3">
        <v>109487900</v>
      </c>
      <c r="E17" s="5">
        <v>0.50000005960464478</v>
      </c>
      <c r="H17" t="s">
        <v>19</v>
      </c>
      <c r="I17" s="3">
        <v>136539100</v>
      </c>
      <c r="J17" s="4">
        <v>-3.5443063825368881E-2</v>
      </c>
      <c r="M17" s="7">
        <f t="shared" si="0"/>
        <v>15000.000596046448</v>
      </c>
      <c r="N17" s="7">
        <f t="shared" si="1"/>
        <v>14468.354617540203</v>
      </c>
    </row>
    <row r="19" spans="3:14" x14ac:dyDescent="0.25">
      <c r="M19" s="8">
        <f>SUM(M6:M17)</f>
        <v>200786.22721135616</v>
      </c>
      <c r="N19" s="8">
        <f>SUM(N6:N17)</f>
        <v>178139.72734674573</v>
      </c>
    </row>
    <row r="21" spans="3:14" x14ac:dyDescent="0.25">
      <c r="H21">
        <v>7.8125E-2</v>
      </c>
      <c r="M21" s="9">
        <f>(M19/N1)-1</f>
        <v>0.67321856009463477</v>
      </c>
      <c r="N21" s="9">
        <f>(N19/M19)-1</f>
        <v>-0.11278910998597413</v>
      </c>
    </row>
    <row r="22" spans="3:14" x14ac:dyDescent="0.25">
      <c r="H22">
        <v>0.48435</v>
      </c>
      <c r="M22" s="9">
        <f>(M19/N1)-1</f>
        <v>0.67321856009463477</v>
      </c>
    </row>
    <row r="23" spans="3:14" x14ac:dyDescent="0.25">
      <c r="H23">
        <f>H22/H21</f>
        <v>6.1996799999999999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Tommie Brechbill</dc:creator>
  <cp:lastModifiedBy>Tommie Brechbill</cp:lastModifiedBy>
  <dcterms:created xsi:type="dcterms:W3CDTF">2019-05-02T20:23:55Z</dcterms:created>
  <dcterms:modified xsi:type="dcterms:W3CDTF">2022-04-11T03:21:03Z</dcterms:modified>
</cp:coreProperties>
</file>